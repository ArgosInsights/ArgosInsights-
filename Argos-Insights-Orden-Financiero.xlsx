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Cuentas por Cobrar" sheetId="3" state="visible" r:id="rId5"/>
    <sheet name="Flujo de Caja" sheetId="4" state="visible" r:id="rId6"/>
    <sheet name="Ciclo Document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<sst xmlns="http://schemas.openxmlformats.org/spreadsheetml/2006/main" count="74" uniqueCount="69">
  <si>
    <t xml:space="preserve">ARGOS INSIGHTS</t>
  </si>
  <si>
    <t xml:space="preserve">Plantilla de Orden Financiero</t>
  </si>
  <si>
    <t xml:space="preserve">Para tener tus facturas, tu flujo de caja y el ciclo OC-HES-EDP-Factura ordenados y fáciles de leer, en un solo Excel.</t>
  </si>
  <si>
    <t xml:space="preserve">Cómo usarla</t>
  </si>
  <si>
    <t xml:space="preserve">Celdas amarillas</t>
  </si>
  <si>
    <t xml:space="preserve">son las únicas que debes llenar tú. Todo lo demás se calcula solo.</t>
  </si>
  <si>
    <t xml:space="preserve">Celdas blancas</t>
  </si>
  <si>
    <t xml:space="preserve">se calculan automáticamente con fórmulas — no las edites, o se rompe el cálculo.</t>
  </si>
  <si>
    <t xml:space="preserve">Filas de ejemplo</t>
  </si>
  <si>
    <t xml:space="preserve">cada hoja trae 2-4 filas con datos de ejemplo (en gris) para que veas el formato. Bórralas o sobrescríbelas cuando cargues tus datos reales.</t>
  </si>
  <si>
    <t xml:space="preserve">Fechas</t>
  </si>
  <si>
    <t xml:space="preserve">escríbelas siempre como fecha (ej. 15-07-2026), no como texto, para que las fórmulas de atraso funcionen.</t>
  </si>
  <si>
    <t xml:space="preserve">Qué contiene cada hoja</t>
  </si>
  <si>
    <t xml:space="preserve">Resumen</t>
  </si>
  <si>
    <t xml:space="preserve">Vista rápida: cuánto te deben, tu plazo promedio y cuántas facturas están vencidas — sin tener que leer el resto.</t>
  </si>
  <si>
    <t xml:space="preserve">Cuentas por Cobrar</t>
  </si>
  <si>
    <t xml:space="preserve">Cada factura emitida, a quién, por cuánto, cuándo debería pagarse y su estado (pendiente / vencida / pagada).</t>
  </si>
  <si>
    <t xml:space="preserve">Flujo de Caja</t>
  </si>
  <si>
    <t xml:space="preserve">Proyección mes a mes de cuánta plata entra y sale, y el saldo que te va quedando.</t>
  </si>
  <si>
    <t xml:space="preserve">Ciclo Documental</t>
  </si>
  <si>
    <t xml:space="preserve">Seguimiento de cada venta desde la Orden de Compra hasta el pago (OC → HES → EDP → Factura → Pago).</t>
  </si>
  <si>
    <t xml:space="preserve">¿Prefieres que esto viva en un dashboard en vez de un Excel? Eso es exactamente lo que hacemos en Argos Insights.</t>
  </si>
  <si>
    <t xml:space="preserve">argosinsights.org   ·   argosconsulta@gmail.com   ·   @argosinsights</t>
  </si>
  <si>
    <t xml:space="preserve">Resumen Financiero</t>
  </si>
  <si>
    <t xml:space="preserve">Se actualiza solo a partir de las hojas Cuentas por Cobrar y Flujo de Caja.</t>
  </si>
  <si>
    <t xml:space="preserve">Total por Cobrar</t>
  </si>
  <si>
    <t xml:space="preserve">Plazo Promedio (días)</t>
  </si>
  <si>
    <t xml:space="preserve">Facturas Vencidas</t>
  </si>
  <si>
    <t xml:space="preserve">Saldo Proy. (últ. mes)</t>
  </si>
  <si>
    <t xml:space="preserve">Estos cuatro números son los que un dashboard de Argos Insights mantiene siempre al día, sin que tengas que revisar ninguna planilla.</t>
  </si>
  <si>
    <t xml:space="preserve">Llena las columnas amarillas (A-E y G si ya te pagaron). El resto se calcula solo.</t>
  </si>
  <si>
    <t xml:space="preserve">Cliente</t>
  </si>
  <si>
    <t xml:space="preserve">N° Factura</t>
  </si>
  <si>
    <t xml:space="preserve">Monto ($)</t>
  </si>
  <si>
    <t xml:space="preserve">Fecha Emisión</t>
  </si>
  <si>
    <t xml:space="preserve">Plazo (días)</t>
  </si>
  <si>
    <t xml:space="preserve">Fecha Estimada de Pago</t>
  </si>
  <si>
    <t xml:space="preserve">Fecha Real de Pago</t>
  </si>
  <si>
    <t xml:space="preserve">Estado</t>
  </si>
  <si>
    <t xml:space="preserve">Días de Atraso</t>
  </si>
  <si>
    <t xml:space="preserve">Constructora ABC (ejemplo)</t>
  </si>
  <si>
    <t xml:space="preserve">F-1042</t>
  </si>
  <si>
    <t xml:space="preserve">Minera Sur (ejemplo)</t>
  </si>
  <si>
    <t xml:space="preserve">F-1043</t>
  </si>
  <si>
    <t xml:space="preserve">Retail Norte (ejemplo)</t>
  </si>
  <si>
    <t xml:space="preserve">F-1044</t>
  </si>
  <si>
    <t xml:space="preserve">Flujo de Caja Proyectado</t>
  </si>
  <si>
    <t xml:space="preserve">Llena el saldo inicial del primer mes y tus egresos estimados. El saldo final se arrastra solo mes a mes.</t>
  </si>
  <si>
    <t xml:space="preserve">Mes</t>
  </si>
  <si>
    <t xml:space="preserve">Saldo Inicial</t>
  </si>
  <si>
    <t xml:space="preserve">Cobros Esperados*</t>
  </si>
  <si>
    <t xml:space="preserve">Otros Ingresos</t>
  </si>
  <si>
    <t xml:space="preserve">Egresos Fijos</t>
  </si>
  <si>
    <t xml:space="preserve">Egresos Variables</t>
  </si>
  <si>
    <t xml:space="preserve">Saldo Final</t>
  </si>
  <si>
    <t xml:space="preserve">*Cobros Esperados se calcula solo, sumando las facturas de la hoja 'Cuentas por Cobrar' cuya Fecha Estimada de Pago cae en ese mes.</t>
  </si>
  <si>
    <t xml:space="preserve">Ciclo Documental (OC → HES → EDP → Factura → Pago)</t>
  </si>
  <si>
    <t xml:space="preserve">Llena la fecha de cada etapa a medida que ocurre. La etapa actual y los días en el ciclo se calculan solos.</t>
  </si>
  <si>
    <t xml:space="preserve">N° OC</t>
  </si>
  <si>
    <t xml:space="preserve">Fecha OC</t>
  </si>
  <si>
    <t xml:space="preserve">Fecha HES</t>
  </si>
  <si>
    <t xml:space="preserve">Fecha EDP</t>
  </si>
  <si>
    <t xml:space="preserve">Fecha Factura</t>
  </si>
  <si>
    <t xml:space="preserve">Fecha Pago</t>
  </si>
  <si>
    <t xml:space="preserve">Etapa Actual</t>
  </si>
  <si>
    <t xml:space="preserve">Días en el Ciclo</t>
  </si>
  <si>
    <t xml:space="preserve">OC-3301</t>
  </si>
  <si>
    <t xml:space="preserve">OC-3302</t>
  </si>
  <si>
    <t xml:space="preserve">OC-3303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</si>
</sst>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&quot; días&quot;"/>
    <numFmt numFmtId="167" formatCode="0"/>
    <numFmt numFmtId="168" formatCode="dd\-mm\-yyyy"/>
    <numFmt numFmtId="169" formatCode="mmmm\ 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D6600"/>
      <name val="Arial"/>
      <family val="0"/>
      <charset val="1"/>
    </font>
    <font>
      <b val="true"/>
      <sz val="22"/>
      <color rgb="FF1111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color rgb="FF3D6600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3D6600"/>
      <name val="Arial"/>
      <family val="0"/>
      <charset val="1"/>
    </font>
    <font>
      <i val="true"/>
      <sz val="10"/>
      <color rgb="FF111111"/>
      <name val="Arial"/>
      <family val="0"/>
      <charset val="1"/>
    </font>
    <font>
      <b val="true"/>
      <sz val="16"/>
      <color rgb="FF1111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111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1111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D6600"/>
        <bgColor rgb="FF595959"/>
      </patternFill>
    </fill>
    <fill>
      <patternFill patternType="solid">
        <fgColor rgb="FFF5F5F5"/>
        <bgColor rgb="FFEDEDED"/>
      </patternFill>
    </fill>
    <fill>
      <patternFill patternType="solid">
        <fgColor rgb="FFFFF6CC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9EAD3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D66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6CC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9EAD3"/>
      <rgbColor rgb="FFFFF3CD"/>
      <rgbColor rgb="FF99CCFF"/>
      <rgbColor rgb="FFFF99CC"/>
      <rgbColor rgb="FFCC99FF"/>
      <rgbColor rgb="FFF8D7DA"/>
      <rgbColor rgb="FF3366FF"/>
      <rgbColor rgb="FF33CCCC"/>
      <rgbColor rgb="FF7FB102"/>
      <rgbColor rgb="FFFFCC00"/>
      <rgbColor rgb="FFFF9900"/>
      <rgbColor rgb="FFFF6600"/>
      <rgbColor rgb="FF595959"/>
      <rgbColor rgb="FF878787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Saldo Final Proyectado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'Flujo de Caja'!G3</c:f>
              <c:strCache>
                <c:ptCount val="1"/>
                <c:pt idx="0">
                  <c:v>Saldo Final</c:v>
                </c:pt>
              </c:strCache>
            </c:strRef>
          </c:tx>
          <c:spPr>
            <a:solidFill>
              <a:srgbClr val="7FB102"/>
            </a:solidFill>
            <a:ln w="24840">
              <a:solidFill>
                <a:srgbClr val="7FB10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'Flujo de Caja'!$A$4:$A$9</c:f>
              <c:strCache>
                <c:ptCount val="6"/>
                <c:pt idx="0">
                  <c:v>August 2026</c:v>
                </c:pt>
                <c:pt idx="1">
                  <c:v>September 2026</c:v>
                </c:pt>
                <c:pt idx="2">
                  <c:v>October 2026</c:v>
                </c:pt>
                <c:pt idx="3">
                  <c:v>November 2026</c:v>
                </c:pt>
                <c:pt idx="4">
                  <c:v>December 2026</c:v>
                </c:pt>
                <c:pt idx="5">
                  <c:v>January 2027</c:v>
                </c:pt>
              </c:strCache>
            </c:strRef>
          </c:cat>
          <c:val>
            <c:numRef>
              <c:f>'Flujo de Caja'!$G$4:$G$9</c:f>
              <c:numCache>
                <c:formatCode>\$#,##0</c:formatCode>
                <c:ptCount val="6"/>
                <c:pt idx="0">
                  <c:v>12800000</c:v>
                </c:pt>
                <c:pt idx="1">
                  <c:v>12800000</c:v>
                </c:pt>
                <c:pt idx="2">
                  <c:v>12800000</c:v>
                </c:pt>
                <c:pt idx="3">
                  <c:v>12800000</c:v>
                </c:pt>
                <c:pt idx="4">
                  <c:v>12800000</c:v>
                </c:pt>
                <c:pt idx="5">
                  <c:v>12800000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114451"/>
        <c:axId val="98329166"/>
      </c:lineChart>
      <c:catAx>
        <c:axId val="551144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329166"/>
        <c:crosses val="autoZero"/>
        <c:auto val="1"/>
        <c:lblAlgn val="ctr"/>
        <c:lblOffset val="100"/>
        <c:noMultiLvlLbl val="0"/>
      </c:catAx>
      <c:valAx>
        <c:axId val="98329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CLP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1144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5</xdr:col>
      <xdr:colOff>911160</xdr:colOff>
      <xdr:row>27</xdr:row>
      <xdr:rowOff>21960</xdr:rowOff>
    </xdr:to>
    <xdr:graphicFrame>
      <xdr:nvGraphicFramePr>
        <xdr:cNvPr id="1" name="Chart 1"/>
        <xdr:cNvGraphicFramePr/>
      </xdr:nvGraphicFramePr>
      <xdr:xfrm>
        <a:off x="0" y="28479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B102"/>
    <pageSetUpPr fitToPage="true"/>
  </sheetPr>
  <dimension ref="B2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7" min="4" style="0" width="3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</row>
    <row r="3" customFormat="false" ht="26.8" hidden="false" customHeight="false" outlineLevel="0" collapsed="false">
      <c r="B3" s="2" t="s">
        <v>1</v>
      </c>
      <c r="C3" s="2"/>
      <c r="D3" s="2"/>
      <c r="E3" s="2"/>
      <c r="F3" s="2"/>
    </row>
    <row r="4" customFormat="false" ht="33.75" hidden="false" customHeight="true" outlineLevel="0" collapsed="false">
      <c r="B4" s="3" t="s">
        <v>2</v>
      </c>
      <c r="C4" s="3"/>
      <c r="D4" s="3"/>
      <c r="E4" s="3"/>
      <c r="F4" s="3"/>
    </row>
    <row r="6" customFormat="false" ht="16.15" hidden="false" customHeight="false" outlineLevel="0" collapsed="false">
      <c r="B6" s="4" t="s">
        <v>3</v>
      </c>
      <c r="C6" s="4"/>
      <c r="D6" s="4"/>
      <c r="E6" s="4"/>
      <c r="F6" s="4"/>
    </row>
    <row r="7" customFormat="false" ht="27.75" hidden="false" customHeight="true" outlineLevel="0" collapsed="false">
      <c r="B7" s="5" t="s">
        <v>4</v>
      </c>
      <c r="C7" s="6" t="s">
        <v>5</v>
      </c>
      <c r="D7" s="6"/>
      <c r="E7" s="6"/>
      <c r="F7" s="6"/>
    </row>
    <row r="8" customFormat="false" ht="27.75" hidden="false" customHeight="true" outlineLevel="0" collapsed="false">
      <c r="B8" s="5" t="s">
        <v>6</v>
      </c>
      <c r="C8" s="6" t="s">
        <v>7</v>
      </c>
      <c r="D8" s="6"/>
      <c r="E8" s="6"/>
      <c r="F8" s="6"/>
    </row>
    <row r="9" customFormat="false" ht="27.75" hidden="false" customHeight="true" outlineLevel="0" collapsed="false">
      <c r="B9" s="5" t="s">
        <v>8</v>
      </c>
      <c r="C9" s="6" t="s">
        <v>9</v>
      </c>
      <c r="D9" s="6"/>
      <c r="E9" s="6"/>
      <c r="F9" s="6"/>
    </row>
    <row r="10" customFormat="false" ht="27.75" hidden="false" customHeight="true" outlineLevel="0" collapsed="false">
      <c r="B10" s="5" t="s">
        <v>10</v>
      </c>
      <c r="C10" s="6" t="s">
        <v>11</v>
      </c>
      <c r="D10" s="6"/>
      <c r="E10" s="6"/>
      <c r="F10" s="6"/>
    </row>
    <row r="12" customFormat="false" ht="16.15" hidden="false" customHeight="false" outlineLevel="0" collapsed="false">
      <c r="B12" s="4" t="s">
        <v>12</v>
      </c>
      <c r="C12" s="4"/>
      <c r="D12" s="4"/>
      <c r="E12" s="4"/>
      <c r="F12" s="4"/>
    </row>
    <row r="13" customFormat="false" ht="27.75" hidden="false" customHeight="true" outlineLevel="0" collapsed="false">
      <c r="B13" s="7" t="s">
        <v>13</v>
      </c>
      <c r="C13" s="6" t="s">
        <v>14</v>
      </c>
      <c r="D13" s="6"/>
      <c r="E13" s="6"/>
      <c r="F13" s="6"/>
    </row>
    <row r="14" customFormat="false" ht="27.75" hidden="false" customHeight="true" outlineLevel="0" collapsed="false">
      <c r="B14" s="7" t="s">
        <v>15</v>
      </c>
      <c r="C14" s="6" t="s">
        <v>16</v>
      </c>
      <c r="D14" s="6"/>
      <c r="E14" s="6"/>
      <c r="F14" s="6"/>
    </row>
    <row r="15" customFormat="false" ht="27.75" hidden="false" customHeight="true" outlineLevel="0" collapsed="false">
      <c r="B15" s="7" t="s">
        <v>17</v>
      </c>
      <c r="C15" s="6" t="s">
        <v>18</v>
      </c>
      <c r="D15" s="6"/>
      <c r="E15" s="6"/>
      <c r="F15" s="6"/>
    </row>
    <row r="16" customFormat="false" ht="27.75" hidden="false" customHeight="true" outlineLevel="0" collapsed="false">
      <c r="B16" s="7" t="s">
        <v>19</v>
      </c>
      <c r="C16" s="6" t="s">
        <v>20</v>
      </c>
      <c r="D16" s="6"/>
      <c r="E16" s="6"/>
      <c r="F16" s="6"/>
    </row>
    <row r="19" customFormat="false" ht="30" hidden="false" customHeight="true" outlineLevel="0" collapsed="false">
      <c r="B19" s="8" t="s">
        <v>21</v>
      </c>
      <c r="C19" s="8"/>
      <c r="D19" s="8"/>
      <c r="E19" s="8"/>
      <c r="F19" s="8"/>
    </row>
    <row r="20" customFormat="false" ht="15" hidden="false" customHeight="false" outlineLevel="0" collapsed="false">
      <c r="B20" s="9" t="s">
        <v>22</v>
      </c>
      <c r="C20" s="9"/>
      <c r="D20" s="9"/>
      <c r="E20" s="9"/>
      <c r="F20" s="9"/>
    </row>
  </sheetData>
  <mergeCells count="15">
    <mergeCell ref="B2:F2"/>
    <mergeCell ref="B3:F3"/>
    <mergeCell ref="B4:F4"/>
    <mergeCell ref="B6:F6"/>
    <mergeCell ref="C7:F7"/>
    <mergeCell ref="C8:F8"/>
    <mergeCell ref="C9:F9"/>
    <mergeCell ref="C10:F10"/>
    <mergeCell ref="B12:F12"/>
    <mergeCell ref="C13:F13"/>
    <mergeCell ref="C14:F14"/>
    <mergeCell ref="C15:F15"/>
    <mergeCell ref="C16:F16"/>
    <mergeCell ref="B19:F19"/>
    <mergeCell ref="B20:F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B102"/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6"/>
    <col collapsed="false" customWidth="true" hidden="false" outlineLevel="0" max="7" min="6" style="0" width="3"/>
  </cols>
  <sheetData>
    <row r="1" customFormat="false" ht="30" hidden="false" customHeight="true" outlineLevel="0" collapsed="false">
      <c r="A1" s="10" t="s">
        <v>23</v>
      </c>
      <c r="B1" s="10"/>
      <c r="C1" s="10"/>
      <c r="D1" s="10"/>
      <c r="E1" s="10"/>
    </row>
    <row r="2" customFormat="false" ht="19.5" hidden="false" customHeight="true" outlineLevel="0" collapsed="false">
      <c r="A2" s="11" t="s">
        <v>24</v>
      </c>
      <c r="B2" s="11"/>
      <c r="C2" s="11"/>
      <c r="D2" s="11"/>
      <c r="E2" s="11"/>
    </row>
    <row r="4" customFormat="false" ht="33.75" hidden="false" customHeight="true" outlineLevel="0" collapsed="false">
      <c r="B4" s="12" t="s">
        <v>25</v>
      </c>
      <c r="C4" s="12" t="s">
        <v>26</v>
      </c>
      <c r="D4" s="12" t="s">
        <v>27</v>
      </c>
      <c r="E4" s="12" t="s">
        <v>28</v>
      </c>
    </row>
    <row r="5" customFormat="false" ht="43.5" hidden="false" customHeight="true" outlineLevel="0" collapsed="false">
      <c r="B5" s="13" t="n">
        <f aca="false">SUMIF('Cuentas por Cobrar'!H4:H28,"Pendiente",'Cuentas por Cobrar'!C4:C28)+SUMIF('Cuentas por Cobrar'!H4:H28,"Vencida",'Cuentas por Cobrar'!C4:C28)</f>
        <v>6150000</v>
      </c>
      <c r="C5" s="14" t="n">
        <f aca="false">IFERROR(AVERAGEIFS('Cuentas por Cobrar'!E4:E28,'Cuentas por Cobrar'!A4:A28,"&lt;&gt;"),0)</f>
        <v>45</v>
      </c>
      <c r="D5" s="15" t="n">
        <f aca="false">COUNTIF('Cuentas por Cobrar'!H4:H28,"Vencida")</f>
        <v>0</v>
      </c>
      <c r="E5" s="13" t="n">
        <f aca="false">'Flujo de Caja'!G9</f>
        <v>12800000</v>
      </c>
    </row>
    <row r="8" customFormat="false" ht="30" hidden="false" customHeight="true" outlineLevel="0" collapsed="false">
      <c r="B8" s="16" t="s">
        <v>29</v>
      </c>
      <c r="C8" s="16"/>
      <c r="D8" s="16"/>
      <c r="E8" s="16"/>
    </row>
  </sheetData>
  <mergeCells count="3">
    <mergeCell ref="A1:E1"/>
    <mergeCell ref="A2:E2"/>
    <mergeCell ref="B8:E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B102"/>
    <pageSetUpPr fitToPage="tru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0" t="s">
        <v>15</v>
      </c>
      <c r="B1" s="10"/>
      <c r="C1" s="10"/>
      <c r="D1" s="10"/>
      <c r="E1" s="10"/>
      <c r="F1" s="10"/>
      <c r="G1" s="10"/>
      <c r="H1" s="10"/>
      <c r="I1" s="10"/>
    </row>
    <row r="2" customFormat="false" ht="19.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  <c r="I2" s="11"/>
    </row>
    <row r="3" customFormat="false" ht="36" hidden="false" customHeight="true" outlineLevel="0" collapsed="false">
      <c r="A3" s="17" t="s">
        <v>31</v>
      </c>
      <c r="B3" s="17" t="s">
        <v>32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37</v>
      </c>
      <c r="H3" s="17" t="s">
        <v>38</v>
      </c>
      <c r="I3" s="17" t="s">
        <v>39</v>
      </c>
    </row>
    <row r="4" customFormat="false" ht="15" hidden="false" customHeight="false" outlineLevel="0" collapsed="false">
      <c r="A4" s="18" t="s">
        <v>40</v>
      </c>
      <c r="B4" s="18" t="s">
        <v>41</v>
      </c>
      <c r="C4" s="19" t="n">
        <v>4200000</v>
      </c>
      <c r="D4" s="20" t="n">
        <v>46183</v>
      </c>
      <c r="E4" s="18" t="n">
        <v>45</v>
      </c>
      <c r="F4" s="21" t="n">
        <f aca="false">IF(AND(D4&lt;&gt;"",E4&lt;&gt;""),D4+E4,"")</f>
        <v>46228</v>
      </c>
      <c r="G4" s="20"/>
      <c r="H4" s="22" t="str">
        <f aca="true">IF(C4="","",IF(G4&lt;&gt;"","Pagada",IF(AND(F4&lt;&gt;"",TODAY()&gt;F4),"Vencida","Pendiente")))</f>
        <v>Pendiente</v>
      </c>
      <c r="I4" s="22" t="n">
        <f aca="true">IF(H4="Vencida",TODAY()-F4,IF(AND(H4="Pagada",G4&gt;F4),G4-F4,IF(H4="","",0)))</f>
        <v>0</v>
      </c>
    </row>
    <row r="5" customFormat="false" ht="15" hidden="false" customHeight="false" outlineLevel="0" collapsed="false">
      <c r="A5" s="18" t="s">
        <v>42</v>
      </c>
      <c r="B5" s="18" t="s">
        <v>43</v>
      </c>
      <c r="C5" s="19" t="n">
        <v>6800000</v>
      </c>
      <c r="D5" s="20" t="n">
        <v>46193</v>
      </c>
      <c r="E5" s="18" t="n">
        <v>60</v>
      </c>
      <c r="F5" s="21" t="n">
        <f aca="false">IF(AND(D5&lt;&gt;"",E5&lt;&gt;""),D5+E5,"")</f>
        <v>46253</v>
      </c>
      <c r="G5" s="20" t="n">
        <v>46252</v>
      </c>
      <c r="H5" s="22" t="str">
        <f aca="true">IF(C5="","",IF(G5&lt;&gt;"","Pagada",IF(AND(F5&lt;&gt;"",TODAY()&gt;F5),"Vencida","Pendiente")))</f>
        <v>Pagada</v>
      </c>
      <c r="I5" s="22" t="n">
        <f aca="true">IF(H5="Vencida",TODAY()-F5,IF(AND(H5="Pagada",G5&gt;F5),G5-F5,IF(H5="","",0)))</f>
        <v>0</v>
      </c>
    </row>
    <row r="6" customFormat="false" ht="15" hidden="false" customHeight="false" outlineLevel="0" collapsed="false">
      <c r="A6" s="18" t="s">
        <v>44</v>
      </c>
      <c r="B6" s="18" t="s">
        <v>45</v>
      </c>
      <c r="C6" s="19" t="n">
        <v>1950000</v>
      </c>
      <c r="D6" s="20" t="n">
        <v>46204</v>
      </c>
      <c r="E6" s="18" t="n">
        <v>30</v>
      </c>
      <c r="F6" s="21" t="n">
        <f aca="false">IF(AND(D6&lt;&gt;"",E6&lt;&gt;""),D6+E6,"")</f>
        <v>46234</v>
      </c>
      <c r="G6" s="20"/>
      <c r="H6" s="22" t="str">
        <f aca="true">IF(C6="","",IF(G6&lt;&gt;"","Pagada",IF(AND(F6&lt;&gt;"",TODAY()&gt;F6),"Vencida","Pendiente")))</f>
        <v>Pendiente</v>
      </c>
      <c r="I6" s="22" t="n">
        <f aca="true">IF(H6="Vencida",TODAY()-F6,IF(AND(H6="Pagada",G6&gt;F6),G6-F6,IF(H6="","",0)))</f>
        <v>0</v>
      </c>
    </row>
    <row r="7" customFormat="false" ht="15" hidden="false" customHeight="false" outlineLevel="0" collapsed="false">
      <c r="A7" s="23"/>
      <c r="B7" s="23"/>
      <c r="C7" s="24"/>
      <c r="D7" s="25"/>
      <c r="E7" s="23"/>
      <c r="F7" s="26" t="str">
        <f aca="false">IF(AND(D7&lt;&gt;"",E7&lt;&gt;""),D7+E7,"")</f>
        <v/>
      </c>
      <c r="G7" s="25"/>
      <c r="H7" s="27" t="str">
        <f aca="true">IF(C7="","",IF(G7&lt;&gt;"","Pagada",IF(AND(F7&lt;&gt;"",TODAY()&gt;F7),"Vencida","Pendiente")))</f>
        <v/>
      </c>
      <c r="I7" s="28" t="str">
        <f aca="true">IF(H7="Vencida",TODAY()-F7,IF(AND(H7="Pagada",G7&gt;F7),G7-F7,IF(H7="","",0)))</f>
        <v/>
      </c>
    </row>
    <row r="8" customFormat="false" ht="15" hidden="false" customHeight="false" outlineLevel="0" collapsed="false">
      <c r="A8" s="23"/>
      <c r="B8" s="23"/>
      <c r="C8" s="24"/>
      <c r="D8" s="25"/>
      <c r="E8" s="23"/>
      <c r="F8" s="26" t="str">
        <f aca="false">IF(AND(D8&lt;&gt;"",E8&lt;&gt;""),D8+E8,"")</f>
        <v/>
      </c>
      <c r="G8" s="25"/>
      <c r="H8" s="27" t="str">
        <f aca="true">IF(C8="","",IF(G8&lt;&gt;"","Pagada",IF(AND(F8&lt;&gt;"",TODAY()&gt;F8),"Vencida","Pendiente")))</f>
        <v/>
      </c>
      <c r="I8" s="28" t="str">
        <f aca="true">IF(H8="Vencida",TODAY()-F8,IF(AND(H8="Pagada",G8&gt;F8),G8-F8,IF(H8="","",0)))</f>
        <v/>
      </c>
    </row>
    <row r="9" customFormat="false" ht="15" hidden="false" customHeight="false" outlineLevel="0" collapsed="false">
      <c r="A9" s="23"/>
      <c r="B9" s="23"/>
      <c r="C9" s="24"/>
      <c r="D9" s="25"/>
      <c r="E9" s="23"/>
      <c r="F9" s="26" t="str">
        <f aca="false">IF(AND(D9&lt;&gt;"",E9&lt;&gt;""),D9+E9,"")</f>
        <v/>
      </c>
      <c r="G9" s="25"/>
      <c r="H9" s="27" t="str">
        <f aca="true">IF(C9="","",IF(G9&lt;&gt;"","Pagada",IF(AND(F9&lt;&gt;"",TODAY()&gt;F9),"Vencida","Pendiente")))</f>
        <v/>
      </c>
      <c r="I9" s="28" t="str">
        <f aca="true">IF(H9="Vencida",TODAY()-F9,IF(AND(H9="Pagada",G9&gt;F9),G9-F9,IF(H9="","",0)))</f>
        <v/>
      </c>
    </row>
    <row r="10" customFormat="false" ht="15" hidden="false" customHeight="false" outlineLevel="0" collapsed="false">
      <c r="A10" s="23"/>
      <c r="B10" s="23"/>
      <c r="C10" s="24"/>
      <c r="D10" s="25"/>
      <c r="E10" s="23"/>
      <c r="F10" s="26" t="str">
        <f aca="false">IF(AND(D10&lt;&gt;"",E10&lt;&gt;""),D10+E10,"")</f>
        <v/>
      </c>
      <c r="G10" s="25"/>
      <c r="H10" s="27" t="str">
        <f aca="true">IF(C10="","",IF(G10&lt;&gt;"","Pagada",IF(AND(F10&lt;&gt;"",TODAY()&gt;F10),"Vencida","Pendiente")))</f>
        <v/>
      </c>
      <c r="I10" s="28" t="str">
        <f aca="true">IF(H10="Vencida",TODAY()-F10,IF(AND(H10="Pagada",G10&gt;F10),G10-F10,IF(H10="","",0)))</f>
        <v/>
      </c>
    </row>
    <row r="11" customFormat="false" ht="15" hidden="false" customHeight="false" outlineLevel="0" collapsed="false">
      <c r="A11" s="23"/>
      <c r="B11" s="23"/>
      <c r="C11" s="24"/>
      <c r="D11" s="25"/>
      <c r="E11" s="23"/>
      <c r="F11" s="26" t="str">
        <f aca="false">IF(AND(D11&lt;&gt;"",E11&lt;&gt;""),D11+E11,"")</f>
        <v/>
      </c>
      <c r="G11" s="25"/>
      <c r="H11" s="27" t="str">
        <f aca="true">IF(C11="","",IF(G11&lt;&gt;"","Pagada",IF(AND(F11&lt;&gt;"",TODAY()&gt;F11),"Vencida","Pendiente")))</f>
        <v/>
      </c>
      <c r="I11" s="28" t="str">
        <f aca="true">IF(H11="Vencida",TODAY()-F11,IF(AND(H11="Pagada",G11&gt;F11),G11-F11,IF(H11="","",0)))</f>
        <v/>
      </c>
    </row>
    <row r="12" customFormat="false" ht="15" hidden="false" customHeight="false" outlineLevel="0" collapsed="false">
      <c r="A12" s="23"/>
      <c r="B12" s="23"/>
      <c r="C12" s="24"/>
      <c r="D12" s="25"/>
      <c r="E12" s="23"/>
      <c r="F12" s="26" t="str">
        <f aca="false">IF(AND(D12&lt;&gt;"",E12&lt;&gt;""),D12+E12,"")</f>
        <v/>
      </c>
      <c r="G12" s="25"/>
      <c r="H12" s="27" t="str">
        <f aca="true">IF(C12="","",IF(G12&lt;&gt;"","Pagada",IF(AND(F12&lt;&gt;"",TODAY()&gt;F12),"Vencida","Pendiente")))</f>
        <v/>
      </c>
      <c r="I12" s="28" t="str">
        <f aca="true">IF(H12="Vencida",TODAY()-F12,IF(AND(H12="Pagada",G12&gt;F12),G12-F12,IF(H12="","",0)))</f>
        <v/>
      </c>
    </row>
    <row r="13" customFormat="false" ht="15" hidden="false" customHeight="false" outlineLevel="0" collapsed="false">
      <c r="A13" s="23"/>
      <c r="B13" s="23"/>
      <c r="C13" s="24"/>
      <c r="D13" s="25"/>
      <c r="E13" s="23"/>
      <c r="F13" s="26" t="str">
        <f aca="false">IF(AND(D13&lt;&gt;"",E13&lt;&gt;""),D13+E13,"")</f>
        <v/>
      </c>
      <c r="G13" s="25"/>
      <c r="H13" s="27" t="str">
        <f aca="true">IF(C13="","",IF(G13&lt;&gt;"","Pagada",IF(AND(F13&lt;&gt;"",TODAY()&gt;F13),"Vencida","Pendiente")))</f>
        <v/>
      </c>
      <c r="I13" s="28" t="str">
        <f aca="true">IF(H13="Vencida",TODAY()-F13,IF(AND(H13="Pagada",G13&gt;F13),G13-F13,IF(H13="","",0)))</f>
        <v/>
      </c>
    </row>
    <row r="14" customFormat="false" ht="15" hidden="false" customHeight="false" outlineLevel="0" collapsed="false">
      <c r="A14" s="23"/>
      <c r="B14" s="23"/>
      <c r="C14" s="24"/>
      <c r="D14" s="25"/>
      <c r="E14" s="23"/>
      <c r="F14" s="26" t="str">
        <f aca="false">IF(AND(D14&lt;&gt;"",E14&lt;&gt;""),D14+E14,"")</f>
        <v/>
      </c>
      <c r="G14" s="25"/>
      <c r="H14" s="27" t="str">
        <f aca="true">IF(C14="","",IF(G14&lt;&gt;"","Pagada",IF(AND(F14&lt;&gt;"",TODAY()&gt;F14),"Vencida","Pendiente")))</f>
        <v/>
      </c>
      <c r="I14" s="28" t="str">
        <f aca="true">IF(H14="Vencida",TODAY()-F14,IF(AND(H14="Pagada",G14&gt;F14),G14-F14,IF(H14="","",0)))</f>
        <v/>
      </c>
    </row>
    <row r="15" customFormat="false" ht="15" hidden="false" customHeight="false" outlineLevel="0" collapsed="false">
      <c r="A15" s="23"/>
      <c r="B15" s="23"/>
      <c r="C15" s="24"/>
      <c r="D15" s="25"/>
      <c r="E15" s="23"/>
      <c r="F15" s="26" t="str">
        <f aca="false">IF(AND(D15&lt;&gt;"",E15&lt;&gt;""),D15+E15,"")</f>
        <v/>
      </c>
      <c r="G15" s="25"/>
      <c r="H15" s="27" t="str">
        <f aca="true">IF(C15="","",IF(G15&lt;&gt;"","Pagada",IF(AND(F15&lt;&gt;"",TODAY()&gt;F15),"Vencida","Pendiente")))</f>
        <v/>
      </c>
      <c r="I15" s="28" t="str">
        <f aca="true">IF(H15="Vencida",TODAY()-F15,IF(AND(H15="Pagada",G15&gt;F15),G15-F15,IF(H15="","",0)))</f>
        <v/>
      </c>
    </row>
    <row r="16" customFormat="false" ht="15" hidden="false" customHeight="false" outlineLevel="0" collapsed="false">
      <c r="A16" s="23"/>
      <c r="B16" s="23"/>
      <c r="C16" s="24"/>
      <c r="D16" s="25"/>
      <c r="E16" s="23"/>
      <c r="F16" s="26" t="str">
        <f aca="false">IF(AND(D16&lt;&gt;"",E16&lt;&gt;""),D16+E16,"")</f>
        <v/>
      </c>
      <c r="G16" s="25"/>
      <c r="H16" s="27" t="str">
        <f aca="true">IF(C16="","",IF(G16&lt;&gt;"","Pagada",IF(AND(F16&lt;&gt;"",TODAY()&gt;F16),"Vencida","Pendiente")))</f>
        <v/>
      </c>
      <c r="I16" s="28" t="str">
        <f aca="true">IF(H16="Vencida",TODAY()-F16,IF(AND(H16="Pagada",G16&gt;F16),G16-F16,IF(H16="","",0)))</f>
        <v/>
      </c>
    </row>
    <row r="17" customFormat="false" ht="15" hidden="false" customHeight="false" outlineLevel="0" collapsed="false">
      <c r="A17" s="23"/>
      <c r="B17" s="23"/>
      <c r="C17" s="24"/>
      <c r="D17" s="25"/>
      <c r="E17" s="23"/>
      <c r="F17" s="26" t="str">
        <f aca="false">IF(AND(D17&lt;&gt;"",E17&lt;&gt;""),D17+E17,"")</f>
        <v/>
      </c>
      <c r="G17" s="25"/>
      <c r="H17" s="27" t="str">
        <f aca="true">IF(C17="","",IF(G17&lt;&gt;"","Pagada",IF(AND(F17&lt;&gt;"",TODAY()&gt;F17),"Vencida","Pendiente")))</f>
        <v/>
      </c>
      <c r="I17" s="28" t="str">
        <f aca="true">IF(H17="Vencida",TODAY()-F17,IF(AND(H17="Pagada",G17&gt;F17),G17-F17,IF(H17="","",0)))</f>
        <v/>
      </c>
    </row>
    <row r="18" customFormat="false" ht="15" hidden="false" customHeight="false" outlineLevel="0" collapsed="false">
      <c r="A18" s="23"/>
      <c r="B18" s="23"/>
      <c r="C18" s="24"/>
      <c r="D18" s="25"/>
      <c r="E18" s="23"/>
      <c r="F18" s="26" t="str">
        <f aca="false">IF(AND(D18&lt;&gt;"",E18&lt;&gt;""),D18+E18,"")</f>
        <v/>
      </c>
      <c r="G18" s="25"/>
      <c r="H18" s="27" t="str">
        <f aca="true">IF(C18="","",IF(G18&lt;&gt;"","Pagada",IF(AND(F18&lt;&gt;"",TODAY()&gt;F18),"Vencida","Pendiente")))</f>
        <v/>
      </c>
      <c r="I18" s="28" t="str">
        <f aca="true">IF(H18="Vencida",TODAY()-F18,IF(AND(H18="Pagada",G18&gt;F18),G18-F18,IF(H18="","",0)))</f>
        <v/>
      </c>
    </row>
    <row r="19" customFormat="false" ht="15" hidden="false" customHeight="false" outlineLevel="0" collapsed="false">
      <c r="A19" s="23"/>
      <c r="B19" s="23"/>
      <c r="C19" s="24"/>
      <c r="D19" s="25"/>
      <c r="E19" s="23"/>
      <c r="F19" s="26" t="str">
        <f aca="false">IF(AND(D19&lt;&gt;"",E19&lt;&gt;""),D19+E19,"")</f>
        <v/>
      </c>
      <c r="G19" s="25"/>
      <c r="H19" s="27" t="str">
        <f aca="true">IF(C19="","",IF(G19&lt;&gt;"","Pagada",IF(AND(F19&lt;&gt;"",TODAY()&gt;F19),"Vencida","Pendiente")))</f>
        <v/>
      </c>
      <c r="I19" s="28" t="str">
        <f aca="true">IF(H19="Vencida",TODAY()-F19,IF(AND(H19="Pagada",G19&gt;F19),G19-F19,IF(H19="","",0)))</f>
        <v/>
      </c>
    </row>
    <row r="20" customFormat="false" ht="15" hidden="false" customHeight="false" outlineLevel="0" collapsed="false">
      <c r="A20" s="23"/>
      <c r="B20" s="23"/>
      <c r="C20" s="24"/>
      <c r="D20" s="25"/>
      <c r="E20" s="23"/>
      <c r="F20" s="26" t="str">
        <f aca="false">IF(AND(D20&lt;&gt;"",E20&lt;&gt;""),D20+E20,"")</f>
        <v/>
      </c>
      <c r="G20" s="25"/>
      <c r="H20" s="27" t="str">
        <f aca="true">IF(C20="","",IF(G20&lt;&gt;"","Pagada",IF(AND(F20&lt;&gt;"",TODAY()&gt;F20),"Vencida","Pendiente")))</f>
        <v/>
      </c>
      <c r="I20" s="28" t="str">
        <f aca="true">IF(H20="Vencida",TODAY()-F20,IF(AND(H20="Pagada",G20&gt;F20),G20-F20,IF(H20="","",0)))</f>
        <v/>
      </c>
    </row>
    <row r="21" customFormat="false" ht="15" hidden="false" customHeight="false" outlineLevel="0" collapsed="false">
      <c r="A21" s="23"/>
      <c r="B21" s="23"/>
      <c r="C21" s="24"/>
      <c r="D21" s="25"/>
      <c r="E21" s="23"/>
      <c r="F21" s="26" t="str">
        <f aca="false">IF(AND(D21&lt;&gt;"",E21&lt;&gt;""),D21+E21,"")</f>
        <v/>
      </c>
      <c r="G21" s="25"/>
      <c r="H21" s="27" t="str">
        <f aca="true">IF(C21="","",IF(G21&lt;&gt;"","Pagada",IF(AND(F21&lt;&gt;"",TODAY()&gt;F21),"Vencida","Pendiente")))</f>
        <v/>
      </c>
      <c r="I21" s="28" t="str">
        <f aca="true">IF(H21="Vencida",TODAY()-F21,IF(AND(H21="Pagada",G21&gt;F21),G21-F21,IF(H21="","",0)))</f>
        <v/>
      </c>
    </row>
    <row r="22" customFormat="false" ht="15" hidden="false" customHeight="false" outlineLevel="0" collapsed="false">
      <c r="A22" s="23"/>
      <c r="B22" s="23"/>
      <c r="C22" s="24"/>
      <c r="D22" s="25"/>
      <c r="E22" s="23"/>
      <c r="F22" s="26" t="str">
        <f aca="false">IF(AND(D22&lt;&gt;"",E22&lt;&gt;""),D22+E22,"")</f>
        <v/>
      </c>
      <c r="G22" s="25"/>
      <c r="H22" s="27" t="str">
        <f aca="true">IF(C22="","",IF(G22&lt;&gt;"","Pagada",IF(AND(F22&lt;&gt;"",TODAY()&gt;F22),"Vencida","Pendiente")))</f>
        <v/>
      </c>
      <c r="I22" s="28" t="str">
        <f aca="true">IF(H22="Vencida",TODAY()-F22,IF(AND(H22="Pagada",G22&gt;F22),G22-F22,IF(H22="","",0)))</f>
        <v/>
      </c>
    </row>
    <row r="23" customFormat="false" ht="15" hidden="false" customHeight="false" outlineLevel="0" collapsed="false">
      <c r="A23" s="23"/>
      <c r="B23" s="23"/>
      <c r="C23" s="24"/>
      <c r="D23" s="25"/>
      <c r="E23" s="23"/>
      <c r="F23" s="26" t="str">
        <f aca="false">IF(AND(D23&lt;&gt;"",E23&lt;&gt;""),D23+E23,"")</f>
        <v/>
      </c>
      <c r="G23" s="25"/>
      <c r="H23" s="27" t="str">
        <f aca="true">IF(C23="","",IF(G23&lt;&gt;"","Pagada",IF(AND(F23&lt;&gt;"",TODAY()&gt;F23),"Vencida","Pendiente")))</f>
        <v/>
      </c>
      <c r="I23" s="28" t="str">
        <f aca="true">IF(H23="Vencida",TODAY()-F23,IF(AND(H23="Pagada",G23&gt;F23),G23-F23,IF(H23="","",0)))</f>
        <v/>
      </c>
    </row>
    <row r="24" customFormat="false" ht="15" hidden="false" customHeight="false" outlineLevel="0" collapsed="false">
      <c r="A24" s="23"/>
      <c r="B24" s="23"/>
      <c r="C24" s="24"/>
      <c r="D24" s="25"/>
      <c r="E24" s="23"/>
      <c r="F24" s="26" t="str">
        <f aca="false">IF(AND(D24&lt;&gt;"",E24&lt;&gt;""),D24+E24,"")</f>
        <v/>
      </c>
      <c r="G24" s="25"/>
      <c r="H24" s="27" t="str">
        <f aca="true">IF(C24="","",IF(G24&lt;&gt;"","Pagada",IF(AND(F24&lt;&gt;"",TODAY()&gt;F24),"Vencida","Pendiente")))</f>
        <v/>
      </c>
      <c r="I24" s="28" t="str">
        <f aca="true">IF(H24="Vencida",TODAY()-F24,IF(AND(H24="Pagada",G24&gt;F24),G24-F24,IF(H24="","",0)))</f>
        <v/>
      </c>
    </row>
    <row r="25" customFormat="false" ht="15" hidden="false" customHeight="false" outlineLevel="0" collapsed="false">
      <c r="A25" s="23"/>
      <c r="B25" s="23"/>
      <c r="C25" s="24"/>
      <c r="D25" s="25"/>
      <c r="E25" s="23"/>
      <c r="F25" s="26" t="str">
        <f aca="false">IF(AND(D25&lt;&gt;"",E25&lt;&gt;""),D25+E25,"")</f>
        <v/>
      </c>
      <c r="G25" s="25"/>
      <c r="H25" s="27" t="str">
        <f aca="true">IF(C25="","",IF(G25&lt;&gt;"","Pagada",IF(AND(F25&lt;&gt;"",TODAY()&gt;F25),"Vencida","Pendiente")))</f>
        <v/>
      </c>
      <c r="I25" s="28" t="str">
        <f aca="true">IF(H25="Vencida",TODAY()-F25,IF(AND(H25="Pagada",G25&gt;F25),G25-F25,IF(H25="","",0)))</f>
        <v/>
      </c>
    </row>
    <row r="26" customFormat="false" ht="15" hidden="false" customHeight="false" outlineLevel="0" collapsed="false">
      <c r="A26" s="23"/>
      <c r="B26" s="23"/>
      <c r="C26" s="24"/>
      <c r="D26" s="25"/>
      <c r="E26" s="23"/>
      <c r="F26" s="26" t="str">
        <f aca="false">IF(AND(D26&lt;&gt;"",E26&lt;&gt;""),D26+E26,"")</f>
        <v/>
      </c>
      <c r="G26" s="25"/>
      <c r="H26" s="27" t="str">
        <f aca="true">IF(C26="","",IF(G26&lt;&gt;"","Pagada",IF(AND(F26&lt;&gt;"",TODAY()&gt;F26),"Vencida","Pendiente")))</f>
        <v/>
      </c>
      <c r="I26" s="28" t="str">
        <f aca="true">IF(H26="Vencida",TODAY()-F26,IF(AND(H26="Pagada",G26&gt;F26),G26-F26,IF(H26="","",0)))</f>
        <v/>
      </c>
    </row>
    <row r="27" customFormat="false" ht="15" hidden="false" customHeight="false" outlineLevel="0" collapsed="false">
      <c r="A27" s="23"/>
      <c r="B27" s="23"/>
      <c r="C27" s="24"/>
      <c r="D27" s="25"/>
      <c r="E27" s="23"/>
      <c r="F27" s="26" t="str">
        <f aca="false">IF(AND(D27&lt;&gt;"",E27&lt;&gt;""),D27+E27,"")</f>
        <v/>
      </c>
      <c r="G27" s="25"/>
      <c r="H27" s="27" t="str">
        <f aca="true">IF(C27="","",IF(G27&lt;&gt;"","Pagada",IF(AND(F27&lt;&gt;"",TODAY()&gt;F27),"Vencida","Pendiente")))</f>
        <v/>
      </c>
      <c r="I27" s="28" t="str">
        <f aca="true">IF(H27="Vencida",TODAY()-F27,IF(AND(H27="Pagada",G27&gt;F27),G27-F27,IF(H27="","",0)))</f>
        <v/>
      </c>
    </row>
    <row r="28" customFormat="false" ht="15" hidden="false" customHeight="false" outlineLevel="0" collapsed="false">
      <c r="A28" s="23"/>
      <c r="B28" s="23"/>
      <c r="C28" s="24"/>
      <c r="D28" s="25"/>
      <c r="E28" s="23"/>
      <c r="F28" s="26" t="str">
        <f aca="false">IF(AND(D28&lt;&gt;"",E28&lt;&gt;""),D28+E28,"")</f>
        <v/>
      </c>
      <c r="G28" s="25"/>
      <c r="H28" s="27" t="str">
        <f aca="true">IF(C28="","",IF(G28&lt;&gt;"","Pagada",IF(AND(F28&lt;&gt;"",TODAY()&gt;F28),"Vencida","Pendiente")))</f>
        <v/>
      </c>
      <c r="I28" s="28" t="str">
        <f aca="true">IF(H28="Vencida",TODAY()-F28,IF(AND(H28="Pagada",G28&gt;F28),G28-F28,IF(H28="","",0)))</f>
        <v/>
      </c>
    </row>
  </sheetData>
  <mergeCells count="2">
    <mergeCell ref="A1:I1"/>
    <mergeCell ref="A2:I2"/>
  </mergeCells>
  <conditionalFormatting sqref="H4:H28">
    <cfRule type="cellIs" priority="2" operator="equal" aboveAverage="0" equalAverage="0" bottom="0" percent="0" rank="0" text="" dxfId="0">
      <formula>"Vencida"</formula>
    </cfRule>
    <cfRule type="cellIs" priority="3" operator="equal" aboveAverage="0" equalAverage="0" bottom="0" percent="0" rank="0" text="" dxfId="1">
      <formula>"Pendiente"</formula>
    </cfRule>
    <cfRule type="cellIs" priority="4" operator="equal" aboveAverage="0" equalAverage="0" bottom="0" percent="0" rank="0" text="" dxfId="2">
      <formula>"Pagada"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B102"/>
    <pageSetUpPr fitToPage="tru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7"/>
    <col collapsed="false" customWidth="true" hidden="false" outlineLevel="0" max="5" min="4" style="0" width="15"/>
    <col collapsed="false" customWidth="true" hidden="false" outlineLevel="0" max="7" min="6" style="0" width="16"/>
  </cols>
  <sheetData>
    <row r="1" customFormat="false" ht="30" hidden="false" customHeight="true" outlineLevel="0" collapsed="false">
      <c r="A1" s="10" t="s">
        <v>46</v>
      </c>
      <c r="B1" s="10"/>
      <c r="C1" s="10"/>
      <c r="D1" s="10"/>
      <c r="E1" s="10"/>
      <c r="F1" s="10"/>
      <c r="G1" s="10"/>
    </row>
    <row r="2" customFormat="false" ht="19.5" hidden="false" customHeight="true" outlineLevel="0" collapsed="false">
      <c r="A2" s="11" t="s">
        <v>47</v>
      </c>
      <c r="B2" s="11"/>
      <c r="C2" s="11"/>
      <c r="D2" s="11"/>
      <c r="E2" s="11"/>
      <c r="F2" s="11"/>
      <c r="G2" s="11"/>
    </row>
    <row r="3" customFormat="false" ht="39.75" hidden="false" customHeight="true" outlineLevel="0" collapsed="false">
      <c r="A3" s="17" t="s">
        <v>48</v>
      </c>
      <c r="B3" s="17" t="s">
        <v>49</v>
      </c>
      <c r="C3" s="17" t="s">
        <v>50</v>
      </c>
      <c r="D3" s="17" t="s">
        <v>51</v>
      </c>
      <c r="E3" s="17" t="s">
        <v>52</v>
      </c>
      <c r="F3" s="17" t="s">
        <v>53</v>
      </c>
      <c r="G3" s="17" t="s">
        <v>54</v>
      </c>
    </row>
    <row r="4" customFormat="false" ht="15" hidden="false" customHeight="false" outlineLevel="0" collapsed="false">
      <c r="A4" s="29" t="n">
        <v>46235</v>
      </c>
      <c r="B4" s="24" t="n">
        <v>8000000</v>
      </c>
      <c r="C4" s="30" t="n">
        <f aca="false">SUMIFS('Cuentas por Cobrar'!$C$4:$C$28,'Cuentas por Cobrar'!$F$4:$F$28,"&gt;="&amp;A4,'Cuentas por Cobrar'!$F$4:$F$28,"&lt;"&amp;EDATE(A4,1))</f>
        <v>6800000</v>
      </c>
      <c r="D4" s="24" t="n">
        <v>0</v>
      </c>
      <c r="E4" s="24" t="n">
        <v>1500000</v>
      </c>
      <c r="F4" s="24" t="n">
        <v>500000</v>
      </c>
      <c r="G4" s="31" t="n">
        <f aca="false">B4+C4+D4-E4-F4</f>
        <v>12800000</v>
      </c>
    </row>
    <row r="5" customFormat="false" ht="15" hidden="false" customHeight="false" outlineLevel="0" collapsed="false">
      <c r="A5" s="29" t="n">
        <v>46266</v>
      </c>
      <c r="B5" s="30" t="n">
        <f aca="false">G4</f>
        <v>12800000</v>
      </c>
      <c r="C5" s="30" t="n">
        <f aca="false">SUMIFS('Cuentas por Cobrar'!$C$4:$C$28,'Cuentas por Cobrar'!$F$4:$F$28,"&gt;="&amp;A5,'Cuentas por Cobrar'!$F$4:$F$28,"&lt;"&amp;EDATE(A5,1))</f>
        <v>0</v>
      </c>
      <c r="D5" s="24" t="n">
        <v>0</v>
      </c>
      <c r="E5" s="24" t="n">
        <v>0</v>
      </c>
      <c r="F5" s="24" t="n">
        <v>0</v>
      </c>
      <c r="G5" s="31" t="n">
        <f aca="false">B5+C5+D5-E5-F5</f>
        <v>12800000</v>
      </c>
    </row>
    <row r="6" customFormat="false" ht="15" hidden="false" customHeight="false" outlineLevel="0" collapsed="false">
      <c r="A6" s="29" t="n">
        <v>46296</v>
      </c>
      <c r="B6" s="30" t="n">
        <f aca="false">G5</f>
        <v>12800000</v>
      </c>
      <c r="C6" s="30" t="n">
        <f aca="false">SUMIFS('Cuentas por Cobrar'!$C$4:$C$28,'Cuentas por Cobrar'!$F$4:$F$28,"&gt;="&amp;A6,'Cuentas por Cobrar'!$F$4:$F$28,"&lt;"&amp;EDATE(A6,1))</f>
        <v>0</v>
      </c>
      <c r="D6" s="24" t="n">
        <v>0</v>
      </c>
      <c r="E6" s="24" t="n">
        <v>0</v>
      </c>
      <c r="F6" s="24" t="n">
        <v>0</v>
      </c>
      <c r="G6" s="31" t="n">
        <f aca="false">B6+C6+D6-E6-F6</f>
        <v>12800000</v>
      </c>
    </row>
    <row r="7" customFormat="false" ht="15" hidden="false" customHeight="false" outlineLevel="0" collapsed="false">
      <c r="A7" s="29" t="n">
        <v>46327</v>
      </c>
      <c r="B7" s="30" t="n">
        <f aca="false">G6</f>
        <v>12800000</v>
      </c>
      <c r="C7" s="30" t="n">
        <f aca="false">SUMIFS('Cuentas por Cobrar'!$C$4:$C$28,'Cuentas por Cobrar'!$F$4:$F$28,"&gt;="&amp;A7,'Cuentas por Cobrar'!$F$4:$F$28,"&lt;"&amp;EDATE(A7,1))</f>
        <v>0</v>
      </c>
      <c r="D7" s="24" t="n">
        <v>0</v>
      </c>
      <c r="E7" s="24" t="n">
        <v>0</v>
      </c>
      <c r="F7" s="24" t="n">
        <v>0</v>
      </c>
      <c r="G7" s="31" t="n">
        <f aca="false">B7+C7+D7-E7-F7</f>
        <v>12800000</v>
      </c>
    </row>
    <row r="8" customFormat="false" ht="15" hidden="false" customHeight="false" outlineLevel="0" collapsed="false">
      <c r="A8" s="29" t="n">
        <v>46357</v>
      </c>
      <c r="B8" s="30" t="n">
        <f aca="false">G7</f>
        <v>12800000</v>
      </c>
      <c r="C8" s="30" t="n">
        <f aca="false">SUMIFS('Cuentas por Cobrar'!$C$4:$C$28,'Cuentas por Cobrar'!$F$4:$F$28,"&gt;="&amp;A8,'Cuentas por Cobrar'!$F$4:$F$28,"&lt;"&amp;EDATE(A8,1))</f>
        <v>0</v>
      </c>
      <c r="D8" s="24" t="n">
        <v>0</v>
      </c>
      <c r="E8" s="24" t="n">
        <v>0</v>
      </c>
      <c r="F8" s="24" t="n">
        <v>0</v>
      </c>
      <c r="G8" s="31" t="n">
        <f aca="false">B8+C8+D8-E8-F8</f>
        <v>12800000</v>
      </c>
    </row>
    <row r="9" customFormat="false" ht="15" hidden="false" customHeight="false" outlineLevel="0" collapsed="false">
      <c r="A9" s="29" t="n">
        <v>46388</v>
      </c>
      <c r="B9" s="30" t="n">
        <f aca="false">G8</f>
        <v>12800000</v>
      </c>
      <c r="C9" s="30" t="n">
        <f aca="false">SUMIFS('Cuentas por Cobrar'!$C$4:$C$28,'Cuentas por Cobrar'!$F$4:$F$28,"&gt;="&amp;A9,'Cuentas por Cobrar'!$F$4:$F$28,"&lt;"&amp;EDATE(A9,1))</f>
        <v>0</v>
      </c>
      <c r="D9" s="24" t="n">
        <v>0</v>
      </c>
      <c r="E9" s="24" t="n">
        <v>0</v>
      </c>
      <c r="F9" s="24" t="n">
        <v>0</v>
      </c>
      <c r="G9" s="31" t="n">
        <f aca="false">B9+C9+D9-E9-F9</f>
        <v>12800000</v>
      </c>
    </row>
    <row r="11" customFormat="false" ht="15" hidden="false" customHeight="false" outlineLevel="0" collapsed="false">
      <c r="A11" s="32" t="s">
        <v>55</v>
      </c>
      <c r="B11" s="32"/>
      <c r="C11" s="32"/>
      <c r="D11" s="32"/>
      <c r="E11" s="32"/>
      <c r="F11" s="32"/>
      <c r="G11" s="32"/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B102"/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15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0" t="s">
        <v>56</v>
      </c>
      <c r="B1" s="10"/>
      <c r="C1" s="10"/>
      <c r="D1" s="10"/>
      <c r="E1" s="10"/>
      <c r="F1" s="10"/>
      <c r="G1" s="10"/>
      <c r="H1" s="10"/>
      <c r="I1" s="10"/>
    </row>
    <row r="2" customFormat="false" ht="19.5" hidden="false" customHeight="true" outlineLevel="0" collapsed="false">
      <c r="A2" s="11" t="s">
        <v>57</v>
      </c>
      <c r="B2" s="11"/>
      <c r="C2" s="11"/>
      <c r="D2" s="11"/>
      <c r="E2" s="11"/>
      <c r="F2" s="11"/>
      <c r="G2" s="11"/>
      <c r="H2" s="11"/>
      <c r="I2" s="11"/>
    </row>
    <row r="3" customFormat="false" ht="39.75" hidden="false" customHeight="true" outlineLevel="0" collapsed="false">
      <c r="A3" s="17" t="s">
        <v>31</v>
      </c>
      <c r="B3" s="17" t="s">
        <v>58</v>
      </c>
      <c r="C3" s="17" t="s">
        <v>59</v>
      </c>
      <c r="D3" s="17" t="s">
        <v>60</v>
      </c>
      <c r="E3" s="17" t="s">
        <v>61</v>
      </c>
      <c r="F3" s="17" t="s">
        <v>62</v>
      </c>
      <c r="G3" s="17" t="s">
        <v>63</v>
      </c>
      <c r="H3" s="17" t="s">
        <v>64</v>
      </c>
      <c r="I3" s="17" t="s">
        <v>65</v>
      </c>
    </row>
    <row r="4" customFormat="false" ht="15" hidden="false" customHeight="false" outlineLevel="0" collapsed="false">
      <c r="A4" s="18" t="s">
        <v>40</v>
      </c>
      <c r="B4" s="18" t="s">
        <v>66</v>
      </c>
      <c r="C4" s="20" t="n">
        <v>46144</v>
      </c>
      <c r="D4" s="20" t="n">
        <v>46162</v>
      </c>
      <c r="E4" s="20" t="n">
        <v>46176</v>
      </c>
      <c r="F4" s="20" t="n">
        <v>46183</v>
      </c>
      <c r="G4" s="20"/>
      <c r="H4" s="22" t="str">
        <f aca="false">IF(G4&lt;&gt;"","Pagado",IF(F4&lt;&gt;"","Facturado",IF(E4&lt;&gt;"","EDP Emitido",IF(D4&lt;&gt;"","HES Emitida",IF(C4&lt;&gt;"","OC Emitida","Sin iniciar")))))</f>
        <v>Facturado</v>
      </c>
      <c r="I4" s="22" t="n">
        <f aca="true">IF(C4="","",IF(G4&lt;&gt;"",G4-C4,TODAY()-C4))</f>
        <v>75</v>
      </c>
    </row>
    <row r="5" customFormat="false" ht="15" hidden="false" customHeight="false" outlineLevel="0" collapsed="false">
      <c r="A5" s="18" t="s">
        <v>42</v>
      </c>
      <c r="B5" s="18" t="s">
        <v>67</v>
      </c>
      <c r="C5" s="20" t="n">
        <v>46174</v>
      </c>
      <c r="D5" s="20" t="n">
        <v>46188</v>
      </c>
      <c r="E5" s="20"/>
      <c r="F5" s="20"/>
      <c r="G5" s="20"/>
      <c r="H5" s="22" t="str">
        <f aca="false">IF(G5&lt;&gt;"","Pagado",IF(F5&lt;&gt;"","Facturado",IF(E5&lt;&gt;"","EDP Emitido",IF(D5&lt;&gt;"","HES Emitida",IF(C5&lt;&gt;"","OC Emitida","Sin iniciar")))))</f>
        <v>HES Emitida</v>
      </c>
      <c r="I5" s="22" t="n">
        <f aca="true">IF(C5="","",IF(G5&lt;&gt;"",G5-C5,TODAY()-C5))</f>
        <v>45</v>
      </c>
    </row>
    <row r="6" customFormat="false" ht="15" hidden="false" customHeight="false" outlineLevel="0" collapsed="false">
      <c r="A6" s="18" t="s">
        <v>44</v>
      </c>
      <c r="B6" s="18" t="s">
        <v>68</v>
      </c>
      <c r="C6" s="20" t="n">
        <v>46208</v>
      </c>
      <c r="D6" s="20"/>
      <c r="E6" s="20"/>
      <c r="F6" s="20"/>
      <c r="G6" s="20"/>
      <c r="H6" s="22" t="str">
        <f aca="false">IF(G6&lt;&gt;"","Pagado",IF(F6&lt;&gt;"","Facturado",IF(E6&lt;&gt;"","EDP Emitido",IF(D6&lt;&gt;"","HES Emitida",IF(C6&lt;&gt;"","OC Emitida","Sin iniciar")))))</f>
        <v>OC Emitida</v>
      </c>
      <c r="I6" s="22" t="n">
        <f aca="true">IF(C6="","",IF(G6&lt;&gt;"",G6-C6,TODAY()-C6))</f>
        <v>11</v>
      </c>
    </row>
    <row r="7" customFormat="false" ht="15" hidden="false" customHeight="false" outlineLevel="0" collapsed="false">
      <c r="A7" s="23"/>
      <c r="B7" s="23"/>
      <c r="C7" s="25"/>
      <c r="D7" s="25"/>
      <c r="E7" s="25"/>
      <c r="F7" s="25"/>
      <c r="G7" s="25"/>
      <c r="H7" s="27" t="str">
        <f aca="false">IF(G7&lt;&gt;"","Pagado",IF(F7&lt;&gt;"","Facturado",IF(E7&lt;&gt;"","EDP Emitido",IF(D7&lt;&gt;"","HES Emitida",IF(C7&lt;&gt;"","OC Emitida","Sin iniciar")))))</f>
        <v>Sin iniciar</v>
      </c>
      <c r="I7" s="28" t="str">
        <f aca="true">IF(C7="","",IF(G7&lt;&gt;"",G7-C7,TODAY()-C7))</f>
        <v/>
      </c>
    </row>
    <row r="8" customFormat="false" ht="15" hidden="false" customHeight="false" outlineLevel="0" collapsed="false">
      <c r="A8" s="23"/>
      <c r="B8" s="23"/>
      <c r="C8" s="25"/>
      <c r="D8" s="25"/>
      <c r="E8" s="25"/>
      <c r="F8" s="25"/>
      <c r="G8" s="25"/>
      <c r="H8" s="27" t="str">
        <f aca="false">IF(G8&lt;&gt;"","Pagado",IF(F8&lt;&gt;"","Facturado",IF(E8&lt;&gt;"","EDP Emitido",IF(D8&lt;&gt;"","HES Emitida",IF(C8&lt;&gt;"","OC Emitida","Sin iniciar")))))</f>
        <v>Sin iniciar</v>
      </c>
      <c r="I8" s="28" t="str">
        <f aca="true">IF(C8="","",IF(G8&lt;&gt;"",G8-C8,TODAY()-C8))</f>
        <v/>
      </c>
    </row>
    <row r="9" customFormat="false" ht="15" hidden="false" customHeight="false" outlineLevel="0" collapsed="false">
      <c r="A9" s="23"/>
      <c r="B9" s="23"/>
      <c r="C9" s="25"/>
      <c r="D9" s="25"/>
      <c r="E9" s="25"/>
      <c r="F9" s="25"/>
      <c r="G9" s="25"/>
      <c r="H9" s="27" t="str">
        <f aca="false">IF(G9&lt;&gt;"","Pagado",IF(F9&lt;&gt;"","Facturado",IF(E9&lt;&gt;"","EDP Emitido",IF(D9&lt;&gt;"","HES Emitida",IF(C9&lt;&gt;"","OC Emitida","Sin iniciar")))))</f>
        <v>Sin iniciar</v>
      </c>
      <c r="I9" s="28" t="str">
        <f aca="true">IF(C9="","",IF(G9&lt;&gt;"",G9-C9,TODAY()-C9))</f>
        <v/>
      </c>
    </row>
    <row r="10" customFormat="false" ht="15" hidden="false" customHeight="false" outlineLevel="0" collapsed="false">
      <c r="A10" s="23"/>
      <c r="B10" s="23"/>
      <c r="C10" s="25"/>
      <c r="D10" s="25"/>
      <c r="E10" s="25"/>
      <c r="F10" s="25"/>
      <c r="G10" s="25"/>
      <c r="H10" s="27" t="str">
        <f aca="false">IF(G10&lt;&gt;"","Pagado",IF(F10&lt;&gt;"","Facturado",IF(E10&lt;&gt;"","EDP Emitido",IF(D10&lt;&gt;"","HES Emitida",IF(C10&lt;&gt;"","OC Emitida","Sin iniciar")))))</f>
        <v>Sin iniciar</v>
      </c>
      <c r="I10" s="28" t="str">
        <f aca="true">IF(C10="","",IF(G10&lt;&gt;"",G10-C10,TODAY()-C10))</f>
        <v/>
      </c>
    </row>
    <row r="11" customFormat="false" ht="15" hidden="false" customHeight="false" outlineLevel="0" collapsed="false">
      <c r="A11" s="23"/>
      <c r="B11" s="23"/>
      <c r="C11" s="25"/>
      <c r="D11" s="25"/>
      <c r="E11" s="25"/>
      <c r="F11" s="25"/>
      <c r="G11" s="25"/>
      <c r="H11" s="27" t="str">
        <f aca="false">IF(G11&lt;&gt;"","Pagado",IF(F11&lt;&gt;"","Facturado",IF(E11&lt;&gt;"","EDP Emitido",IF(D11&lt;&gt;"","HES Emitida",IF(C11&lt;&gt;"","OC Emitida","Sin iniciar")))))</f>
        <v>Sin iniciar</v>
      </c>
      <c r="I11" s="28" t="str">
        <f aca="true">IF(C11="","",IF(G11&lt;&gt;"",G11-C11,TODAY()-C11))</f>
        <v/>
      </c>
    </row>
    <row r="12" customFormat="false" ht="15" hidden="false" customHeight="false" outlineLevel="0" collapsed="false">
      <c r="A12" s="23"/>
      <c r="B12" s="23"/>
      <c r="C12" s="25"/>
      <c r="D12" s="25"/>
      <c r="E12" s="25"/>
      <c r="F12" s="25"/>
      <c r="G12" s="25"/>
      <c r="H12" s="27" t="str">
        <f aca="false">IF(G12&lt;&gt;"","Pagado",IF(F12&lt;&gt;"","Facturado",IF(E12&lt;&gt;"","EDP Emitido",IF(D12&lt;&gt;"","HES Emitida",IF(C12&lt;&gt;"","OC Emitida","Sin iniciar")))))</f>
        <v>Sin iniciar</v>
      </c>
      <c r="I12" s="28" t="str">
        <f aca="true">IF(C12="","",IF(G12&lt;&gt;"",G12-C12,TODAY()-C12))</f>
        <v/>
      </c>
    </row>
    <row r="13" customFormat="false" ht="15" hidden="false" customHeight="false" outlineLevel="0" collapsed="false">
      <c r="A13" s="23"/>
      <c r="B13" s="23"/>
      <c r="C13" s="25"/>
      <c r="D13" s="25"/>
      <c r="E13" s="25"/>
      <c r="F13" s="25"/>
      <c r="G13" s="25"/>
      <c r="H13" s="27" t="str">
        <f aca="false">IF(G13&lt;&gt;"","Pagado",IF(F13&lt;&gt;"","Facturado",IF(E13&lt;&gt;"","EDP Emitido",IF(D13&lt;&gt;"","HES Emitida",IF(C13&lt;&gt;"","OC Emitida","Sin iniciar")))))</f>
        <v>Sin iniciar</v>
      </c>
      <c r="I13" s="28" t="str">
        <f aca="true">IF(C13="","",IF(G13&lt;&gt;"",G13-C13,TODAY()-C13))</f>
        <v/>
      </c>
    </row>
    <row r="14" customFormat="false" ht="15" hidden="false" customHeight="false" outlineLevel="0" collapsed="false">
      <c r="A14" s="23"/>
      <c r="B14" s="23"/>
      <c r="C14" s="25"/>
      <c r="D14" s="25"/>
      <c r="E14" s="25"/>
      <c r="F14" s="25"/>
      <c r="G14" s="25"/>
      <c r="H14" s="27" t="str">
        <f aca="false">IF(G14&lt;&gt;"","Pagado",IF(F14&lt;&gt;"","Facturado",IF(E14&lt;&gt;"","EDP Emitido",IF(D14&lt;&gt;"","HES Emitida",IF(C14&lt;&gt;"","OC Emitida","Sin iniciar")))))</f>
        <v>Sin iniciar</v>
      </c>
      <c r="I14" s="28" t="str">
        <f aca="true">IF(C14="","",IF(G14&lt;&gt;"",G14-C14,TODAY()-C14))</f>
        <v/>
      </c>
    </row>
    <row r="15" customFormat="false" ht="15" hidden="false" customHeight="false" outlineLevel="0" collapsed="false">
      <c r="A15" s="23"/>
      <c r="B15" s="23"/>
      <c r="C15" s="25"/>
      <c r="D15" s="25"/>
      <c r="E15" s="25"/>
      <c r="F15" s="25"/>
      <c r="G15" s="25"/>
      <c r="H15" s="27" t="str">
        <f aca="false">IF(G15&lt;&gt;"","Pagado",IF(F15&lt;&gt;"","Facturado",IF(E15&lt;&gt;"","EDP Emitido",IF(D15&lt;&gt;"","HES Emitida",IF(C15&lt;&gt;"","OC Emitida","Sin iniciar")))))</f>
        <v>Sin iniciar</v>
      </c>
      <c r="I15" s="28" t="str">
        <f aca="true">IF(C15="","",IF(G15&lt;&gt;"",G15-C15,TODAY()-C15))</f>
        <v/>
      </c>
    </row>
    <row r="16" customFormat="false" ht="15" hidden="false" customHeight="false" outlineLevel="0" collapsed="false">
      <c r="A16" s="23"/>
      <c r="B16" s="23"/>
      <c r="C16" s="25"/>
      <c r="D16" s="25"/>
      <c r="E16" s="25"/>
      <c r="F16" s="25"/>
      <c r="G16" s="25"/>
      <c r="H16" s="27" t="str">
        <f aca="false">IF(G16&lt;&gt;"","Pagado",IF(F16&lt;&gt;"","Facturado",IF(E16&lt;&gt;"","EDP Emitido",IF(D16&lt;&gt;"","HES Emitida",IF(C16&lt;&gt;"","OC Emitida","Sin iniciar")))))</f>
        <v>Sin iniciar</v>
      </c>
      <c r="I16" s="28" t="str">
        <f aca="true">IF(C16="","",IF(G16&lt;&gt;"",G16-C16,TODAY()-C16))</f>
        <v/>
      </c>
    </row>
    <row r="17" customFormat="false" ht="15" hidden="false" customHeight="false" outlineLevel="0" collapsed="false">
      <c r="A17" s="23"/>
      <c r="B17" s="23"/>
      <c r="C17" s="25"/>
      <c r="D17" s="25"/>
      <c r="E17" s="25"/>
      <c r="F17" s="25"/>
      <c r="G17" s="25"/>
      <c r="H17" s="27" t="str">
        <f aca="false">IF(G17&lt;&gt;"","Pagado",IF(F17&lt;&gt;"","Facturado",IF(E17&lt;&gt;"","EDP Emitido",IF(D17&lt;&gt;"","HES Emitida",IF(C17&lt;&gt;"","OC Emitida","Sin iniciar")))))</f>
        <v>Sin iniciar</v>
      </c>
      <c r="I17" s="28" t="str">
        <f aca="true">IF(C17="","",IF(G17&lt;&gt;"",G17-C17,TODAY()-C17))</f>
        <v/>
      </c>
    </row>
    <row r="18" customFormat="false" ht="15" hidden="false" customHeight="false" outlineLevel="0" collapsed="false">
      <c r="A18" s="23"/>
      <c r="B18" s="23"/>
      <c r="C18" s="25"/>
      <c r="D18" s="25"/>
      <c r="E18" s="25"/>
      <c r="F18" s="25"/>
      <c r="G18" s="25"/>
      <c r="H18" s="27" t="str">
        <f aca="false">IF(G18&lt;&gt;"","Pagado",IF(F18&lt;&gt;"","Facturado",IF(E18&lt;&gt;"","EDP Emitido",IF(D18&lt;&gt;"","HES Emitida",IF(C18&lt;&gt;"","OC Emitida","Sin iniciar")))))</f>
        <v>Sin iniciar</v>
      </c>
      <c r="I18" s="28" t="str">
        <f aca="true">IF(C18="","",IF(G18&lt;&gt;"",G18-C18,TODAY()-C18))</f>
        <v/>
      </c>
    </row>
    <row r="19" customFormat="false" ht="15" hidden="false" customHeight="false" outlineLevel="0" collapsed="false">
      <c r="A19" s="23"/>
      <c r="B19" s="23"/>
      <c r="C19" s="25"/>
      <c r="D19" s="25"/>
      <c r="E19" s="25"/>
      <c r="F19" s="25"/>
      <c r="G19" s="25"/>
      <c r="H19" s="27" t="str">
        <f aca="false">IF(G19&lt;&gt;"","Pagado",IF(F19&lt;&gt;"","Facturado",IF(E19&lt;&gt;"","EDP Emitido",IF(D19&lt;&gt;"","HES Emitida",IF(C19&lt;&gt;"","OC Emitida","Sin iniciar")))))</f>
        <v>Sin iniciar</v>
      </c>
      <c r="I19" s="28" t="str">
        <f aca="true">IF(C19="","",IF(G19&lt;&gt;"",G19-C19,TODAY()-C19))</f>
        <v/>
      </c>
    </row>
    <row r="20" customFormat="false" ht="15" hidden="false" customHeight="false" outlineLevel="0" collapsed="false">
      <c r="A20" s="23"/>
      <c r="B20" s="23"/>
      <c r="C20" s="25"/>
      <c r="D20" s="25"/>
      <c r="E20" s="25"/>
      <c r="F20" s="25"/>
      <c r="G20" s="25"/>
      <c r="H20" s="27" t="str">
        <f aca="false">IF(G20&lt;&gt;"","Pagado",IF(F20&lt;&gt;"","Facturado",IF(E20&lt;&gt;"","EDP Emitido",IF(D20&lt;&gt;"","HES Emitida",IF(C20&lt;&gt;"","OC Emitida","Sin iniciar")))))</f>
        <v>Sin iniciar</v>
      </c>
      <c r="I20" s="28" t="str">
        <f aca="true">IF(C20="","",IF(G20&lt;&gt;"",G20-C20,TODAY()-C20))</f>
        <v/>
      </c>
    </row>
    <row r="21" customFormat="false" ht="15" hidden="false" customHeight="false" outlineLevel="0" collapsed="false">
      <c r="A21" s="23"/>
      <c r="B21" s="23"/>
      <c r="C21" s="25"/>
      <c r="D21" s="25"/>
      <c r="E21" s="25"/>
      <c r="F21" s="25"/>
      <c r="G21" s="25"/>
      <c r="H21" s="27" t="str">
        <f aca="false">IF(G21&lt;&gt;"","Pagado",IF(F21&lt;&gt;"","Facturado",IF(E21&lt;&gt;"","EDP Emitido",IF(D21&lt;&gt;"","HES Emitida",IF(C21&lt;&gt;"","OC Emitida","Sin iniciar")))))</f>
        <v>Sin iniciar</v>
      </c>
      <c r="I21" s="28" t="str">
        <f aca="true">IF(C21="","",IF(G21&lt;&gt;"",G21-C21,TODAY()-C21))</f>
        <v/>
      </c>
    </row>
    <row r="22" customFormat="false" ht="15" hidden="false" customHeight="false" outlineLevel="0" collapsed="false">
      <c r="A22" s="23"/>
      <c r="B22" s="23"/>
      <c r="C22" s="25"/>
      <c r="D22" s="25"/>
      <c r="E22" s="25"/>
      <c r="F22" s="25"/>
      <c r="G22" s="25"/>
      <c r="H22" s="27" t="str">
        <f aca="false">IF(G22&lt;&gt;"","Pagado",IF(F22&lt;&gt;"","Facturado",IF(E22&lt;&gt;"","EDP Emitido",IF(D22&lt;&gt;"","HES Emitida",IF(C22&lt;&gt;"","OC Emitida","Sin iniciar")))))</f>
        <v>Sin iniciar</v>
      </c>
      <c r="I22" s="28" t="str">
        <f aca="true">IF(C22="","",IF(G22&lt;&gt;"",G22-C22,TODAY()-C22))</f>
        <v/>
      </c>
    </row>
    <row r="23" customFormat="false" ht="15" hidden="false" customHeight="false" outlineLevel="0" collapsed="false">
      <c r="A23" s="23"/>
      <c r="B23" s="23"/>
      <c r="C23" s="25"/>
      <c r="D23" s="25"/>
      <c r="E23" s="25"/>
      <c r="F23" s="25"/>
      <c r="G23" s="25"/>
      <c r="H23" s="27" t="str">
        <f aca="false">IF(G23&lt;&gt;"","Pagado",IF(F23&lt;&gt;"","Facturado",IF(E23&lt;&gt;"","EDP Emitido",IF(D23&lt;&gt;"","HES Emitida",IF(C23&lt;&gt;"","OC Emitida","Sin iniciar")))))</f>
        <v>Sin iniciar</v>
      </c>
      <c r="I23" s="28" t="str">
        <f aca="true">IF(C23="","",IF(G23&lt;&gt;"",G23-C23,TODAY()-C23))</f>
        <v/>
      </c>
    </row>
  </sheetData>
  <mergeCells count="2">
    <mergeCell ref="A1:I1"/>
    <mergeCell ref="A2:I2"/>
  </mergeCells>
  <conditionalFormatting sqref="H4:H23">
    <cfRule type="cellIs" priority="2" operator="equal" aboveAverage="0" equalAverage="0" bottom="0" percent="0" rank="0" text="" dxfId="2">
      <formula>"Pagado"</formula>
    </cfRule>
    <cfRule type="cellIs" priority="3" operator="equal" aboveAverage="0" equalAverage="0" bottom="0" percent="0" rank="0" text="" dxfId="3">
      <formula>"Sin iniciar"</formula>
    </cfRule>
    <cfRule type="cellIs" priority="4" operator="equal" aboveAverage="0" equalAverage="0" bottom="0" percent="0" rank="0" text="" dxfId="1">
      <formula>"OC Emitida"</formula>
    </cfRule>
    <cfRule type="cellIs" priority="5" operator="equal" aboveAverage="0" equalAverage="0" bottom="0" percent="0" rank="0" text="" dxfId="1">
      <formula>"HES Emitida"</formula>
    </cfRule>
    <cfRule type="cellIs" priority="6" operator="equal" aboveAverage="0" equalAverage="0" bottom="0" percent="0" rank="0" text="" dxfId="1">
      <formula>"EDP Emitido"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2026-07-17T03:46:45Z</dcterms:created>
  <dc:creator>openpyxl</dc:creator>
  <dc:description/>
  <dc:language>en-US</dc:language>
  <cp:lastModifiedBy/>
  <dcterms:modified xsi:type="dcterms:W3CDTF">2026-07-16T23:48:41Z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